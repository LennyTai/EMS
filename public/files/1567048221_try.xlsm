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plglogistics.com\UserHomeDrive\clement\Desktop\"/>
    </mc:Choice>
  </mc:AlternateContent>
  <xr:revisionPtr revIDLastSave="0" documentId="13_ncr:1_{A32FF547-F985-48B2-8D2C-2B94F0F2349A}" xr6:coauthVersionLast="43" xr6:coauthVersionMax="43" xr10:uidLastSave="{00000000-0000-0000-0000-000000000000}"/>
  <bookViews>
    <workbookView xWindow="4515" yWindow="16080" windowWidth="20730" windowHeight="11160" xr2:uid="{B6E43031-DDDC-42C4-BC85-8E91FED73FCD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1" l="1"/>
  <c r="D12" i="1"/>
  <c r="E12" i="1"/>
  <c r="C12" i="1"/>
  <c r="D13" i="1" l="1"/>
  <c r="C13" i="1"/>
  <c r="C15" i="1" l="1"/>
  <c r="B15" i="1"/>
  <c r="B13" i="1"/>
  <c r="E15" i="1" l="1"/>
  <c r="E13" i="1"/>
  <c r="D15" i="1"/>
  <c r="B16" i="1"/>
  <c r="D14" i="1" l="1"/>
  <c r="F12" i="1"/>
  <c r="F13" i="1"/>
  <c r="F15" i="1"/>
  <c r="C14" i="1"/>
  <c r="E14" i="1"/>
  <c r="B14" i="1"/>
  <c r="E16" i="1"/>
  <c r="D16" i="1"/>
  <c r="C16" i="1"/>
  <c r="F16" i="1" l="1"/>
  <c r="B17" i="1"/>
  <c r="F14" i="1"/>
  <c r="D17" i="1"/>
  <c r="E17" i="1"/>
  <c r="C17" i="1"/>
  <c r="C3" i="1"/>
  <c r="D3" i="1"/>
  <c r="F3" i="1"/>
  <c r="G3" i="1"/>
  <c r="H3" i="1"/>
  <c r="J3" i="1"/>
  <c r="K3" i="1"/>
  <c r="L3" i="1"/>
  <c r="N3" i="1"/>
  <c r="O3" i="1"/>
  <c r="P3" i="1"/>
  <c r="B3" i="1"/>
  <c r="E6" i="1"/>
  <c r="E5" i="1"/>
  <c r="E4" i="1"/>
  <c r="I6" i="1"/>
  <c r="I5" i="1"/>
  <c r="I4" i="1"/>
  <c r="I3" i="1" s="1"/>
  <c r="M6" i="1"/>
  <c r="M5" i="1"/>
  <c r="M4" i="1"/>
  <c r="Q5" i="1"/>
  <c r="Q6" i="1"/>
  <c r="Q4" i="1"/>
  <c r="Q3" i="1" l="1"/>
  <c r="M3" i="1"/>
  <c r="F17" i="1"/>
  <c r="E3" i="1"/>
</calcChain>
</file>

<file path=xl/sharedStrings.xml><?xml version="1.0" encoding="utf-8"?>
<sst xmlns="http://schemas.openxmlformats.org/spreadsheetml/2006/main" count="38" uniqueCount="14">
  <si>
    <t>1st Q</t>
  </si>
  <si>
    <t>2nd Q</t>
  </si>
  <si>
    <t>3rd Q</t>
  </si>
  <si>
    <t>4th Q</t>
  </si>
  <si>
    <t>Total</t>
  </si>
  <si>
    <t>Fulltime</t>
  </si>
  <si>
    <t>Contract</t>
  </si>
  <si>
    <t>Parttime</t>
  </si>
  <si>
    <t>Grand Total</t>
  </si>
  <si>
    <t>Roles</t>
  </si>
  <si>
    <t>Select Roles:</t>
  </si>
  <si>
    <t>IT Exec</t>
  </si>
  <si>
    <t>Account Exec</t>
  </si>
  <si>
    <t>HR Exec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</si>
</sst>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4" xfId="0" applyFont="1" applyFill="1" applyBorder="1"/>
    <xf numFmtId="0" fontId="1" fillId="2" borderId="6" xfId="0" applyFont="1" applyFill="1" applyBorder="1"/>
    <xf numFmtId="0" fontId="0" fillId="0" borderId="1" xfId="0" applyBorder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1" fillId="2" borderId="1" xfId="0" applyFont="1" applyFill="1" applyBorder="1" applyAlignment="1">
      <alignment horizontal="right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3" fillId="5" borderId="1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951F1-EC53-4C4E-9406-3D5C81E07DBD}">
  <sheetPr codeName="Sheet2"/>
  <dimension ref="A1:Q17"/>
  <sheetViews>
    <sheetView tabSelected="1" workbookViewId="0">
      <selection activeCell="B9" sqref="B9:D9"/>
    </sheetView>
  </sheetViews>
  <sheetFormatPr defaultRowHeight="15" x14ac:dyDescent="0.25"/>
  <cols>
    <col min="1" max="1" width="12.28515625" bestFit="1" customWidth="1"/>
    <col min="18" max="16384" width="9.140625" style="6"/>
  </cols>
  <sheetData>
    <row r="1" spans="1:17" x14ac:dyDescent="0.25">
      <c r="A1" s="7"/>
      <c r="B1" s="28" t="s">
        <v>0</v>
      </c>
      <c r="C1" s="29"/>
      <c r="D1" s="29"/>
      <c r="E1" s="30"/>
      <c r="F1" s="28" t="s">
        <v>1</v>
      </c>
      <c r="G1" s="29"/>
      <c r="H1" s="29"/>
      <c r="I1" s="30"/>
      <c r="J1" s="28" t="s">
        <v>2</v>
      </c>
      <c r="K1" s="29"/>
      <c r="L1" s="29"/>
      <c r="M1" s="30"/>
      <c r="N1" s="28" t="s">
        <v>3</v>
      </c>
      <c r="O1" s="29"/>
      <c r="P1" s="29"/>
      <c r="Q1" s="30"/>
    </row>
    <row r="2" spans="1:17" x14ac:dyDescent="0.25">
      <c r="A2" s="8" t="s">
        <v>9</v>
      </c>
      <c r="B2" s="11" t="s">
        <v>5</v>
      </c>
      <c r="C2" s="11" t="s">
        <v>7</v>
      </c>
      <c r="D2" s="11" t="s">
        <v>6</v>
      </c>
      <c r="E2" s="11" t="s">
        <v>4</v>
      </c>
      <c r="F2" s="11" t="s">
        <v>5</v>
      </c>
      <c r="G2" s="2" t="s">
        <v>7</v>
      </c>
      <c r="H2" s="11" t="s">
        <v>6</v>
      </c>
      <c r="I2" s="11" t="s">
        <v>4</v>
      </c>
      <c r="J2" s="11" t="s">
        <v>5</v>
      </c>
      <c r="K2" s="2" t="s">
        <v>7</v>
      </c>
      <c r="L2" s="11" t="s">
        <v>6</v>
      </c>
      <c r="M2" s="11" t="s">
        <v>4</v>
      </c>
      <c r="N2" s="11" t="s">
        <v>5</v>
      </c>
      <c r="O2" s="2" t="s">
        <v>7</v>
      </c>
      <c r="P2" s="11" t="s">
        <v>6</v>
      </c>
      <c r="Q2" s="11" t="s">
        <v>4</v>
      </c>
    </row>
    <row r="3" spans="1:17" x14ac:dyDescent="0.25">
      <c r="A3" s="8" t="s">
        <v>4</v>
      </c>
      <c r="B3" s="9">
        <f>SUM(B4:B6)</f>
        <v>5</v>
      </c>
      <c r="C3" s="9">
        <f t="shared" ref="C3:P3" si="0">SUM(C4:C6)</f>
        <v>13</v>
      </c>
      <c r="D3" s="9">
        <f t="shared" si="0"/>
        <v>16</v>
      </c>
      <c r="E3" s="9">
        <f t="shared" si="0"/>
        <v>34</v>
      </c>
      <c r="F3" s="9">
        <f t="shared" si="0"/>
        <v>14</v>
      </c>
      <c r="G3" s="9">
        <f t="shared" si="0"/>
        <v>10</v>
      </c>
      <c r="H3" s="9">
        <f t="shared" si="0"/>
        <v>14</v>
      </c>
      <c r="I3" s="9">
        <f t="shared" si="0"/>
        <v>38</v>
      </c>
      <c r="J3" s="9">
        <f t="shared" si="0"/>
        <v>10</v>
      </c>
      <c r="K3" s="9">
        <f t="shared" si="0"/>
        <v>12</v>
      </c>
      <c r="L3" s="9">
        <f t="shared" si="0"/>
        <v>8</v>
      </c>
      <c r="M3" s="9">
        <f t="shared" si="0"/>
        <v>30</v>
      </c>
      <c r="N3" s="9">
        <f t="shared" si="0"/>
        <v>5</v>
      </c>
      <c r="O3" s="9">
        <f t="shared" si="0"/>
        <v>14</v>
      </c>
      <c r="P3" s="9">
        <f t="shared" si="0"/>
        <v>20</v>
      </c>
      <c r="Q3" s="9">
        <f>SUM(Q4:Q6)</f>
        <v>39</v>
      </c>
    </row>
    <row r="4" spans="1:17" x14ac:dyDescent="0.25">
      <c r="A4" s="12" t="s">
        <v>11</v>
      </c>
      <c r="B4" s="3">
        <v>2</v>
      </c>
      <c r="C4" s="3">
        <v>5</v>
      </c>
      <c r="D4" s="3">
        <v>6</v>
      </c>
      <c r="E4" s="3">
        <f>SUM(B4:D4)</f>
        <v>13</v>
      </c>
      <c r="F4" s="3">
        <v>3</v>
      </c>
      <c r="G4" s="3">
        <v>1</v>
      </c>
      <c r="H4" s="3">
        <v>5</v>
      </c>
      <c r="I4" s="3">
        <f>SUM(F4:H4)</f>
        <v>9</v>
      </c>
      <c r="J4" s="3">
        <v>2</v>
      </c>
      <c r="K4" s="3">
        <v>5</v>
      </c>
      <c r="L4" s="3">
        <v>3</v>
      </c>
      <c r="M4" s="3">
        <f>SUM(J4:L4)</f>
        <v>10</v>
      </c>
      <c r="N4" s="3">
        <v>2</v>
      </c>
      <c r="O4" s="3">
        <v>5</v>
      </c>
      <c r="P4" s="3">
        <v>2</v>
      </c>
      <c r="Q4" s="3">
        <f>SUM(N4:P4)</f>
        <v>9</v>
      </c>
    </row>
    <row r="5" spans="1:17" x14ac:dyDescent="0.25">
      <c r="A5" s="12" t="s">
        <v>12</v>
      </c>
      <c r="B5" s="3">
        <v>1</v>
      </c>
      <c r="C5" s="3">
        <v>6</v>
      </c>
      <c r="D5" s="3">
        <v>5</v>
      </c>
      <c r="E5" s="3">
        <f t="shared" ref="E5:E6" si="1">SUM(B5:D5)</f>
        <v>12</v>
      </c>
      <c r="F5" s="3">
        <v>5</v>
      </c>
      <c r="G5" s="3">
        <v>2</v>
      </c>
      <c r="H5" s="3">
        <v>3</v>
      </c>
      <c r="I5" s="3">
        <f t="shared" ref="I5:I6" si="2">SUM(F5:H5)</f>
        <v>10</v>
      </c>
      <c r="J5" s="3">
        <v>5</v>
      </c>
      <c r="K5" s="3">
        <v>2</v>
      </c>
      <c r="L5" s="3">
        <v>3</v>
      </c>
      <c r="M5" s="3">
        <f t="shared" ref="M5:M6" si="3">SUM(J5:L5)</f>
        <v>10</v>
      </c>
      <c r="N5" s="3">
        <v>2</v>
      </c>
      <c r="O5" s="3">
        <v>6</v>
      </c>
      <c r="P5" s="3">
        <v>3</v>
      </c>
      <c r="Q5" s="3">
        <f t="shared" ref="Q5:Q6" si="4">SUM(N5:P5)</f>
        <v>11</v>
      </c>
    </row>
    <row r="6" spans="1:17" x14ac:dyDescent="0.25">
      <c r="A6" s="1" t="s">
        <v>13</v>
      </c>
      <c r="B6" s="3">
        <v>2</v>
      </c>
      <c r="C6" s="3">
        <v>2</v>
      </c>
      <c r="D6" s="3">
        <v>5</v>
      </c>
      <c r="E6" s="3">
        <f t="shared" si="1"/>
        <v>9</v>
      </c>
      <c r="F6" s="3">
        <v>6</v>
      </c>
      <c r="G6" s="3">
        <v>7</v>
      </c>
      <c r="H6" s="3">
        <v>6</v>
      </c>
      <c r="I6" s="3">
        <f t="shared" si="2"/>
        <v>19</v>
      </c>
      <c r="J6" s="3">
        <v>3</v>
      </c>
      <c r="K6" s="3">
        <v>5</v>
      </c>
      <c r="L6" s="3">
        <v>2</v>
      </c>
      <c r="M6" s="3">
        <f t="shared" si="3"/>
        <v>10</v>
      </c>
      <c r="N6" s="3">
        <v>1</v>
      </c>
      <c r="O6" s="3">
        <v>3</v>
      </c>
      <c r="P6" s="3">
        <v>15</v>
      </c>
      <c r="Q6" s="3">
        <f t="shared" si="4"/>
        <v>19</v>
      </c>
    </row>
    <row r="9" spans="1:17" x14ac:dyDescent="0.25">
      <c r="A9" s="4" t="s">
        <v>10</v>
      </c>
      <c r="B9" s="31" t="s">
        <v>11</v>
      </c>
      <c r="C9" s="31"/>
      <c r="D9" s="31"/>
      <c r="J9" s="6"/>
      <c r="K9" s="6"/>
      <c r="L9" s="6"/>
      <c r="M9" s="6"/>
      <c r="N9" s="6"/>
      <c r="O9" s="6"/>
      <c r="P9" s="6"/>
      <c r="Q9" s="6"/>
    </row>
    <row r="10" spans="1:17" x14ac:dyDescent="0.25">
      <c r="J10" s="6"/>
      <c r="K10" s="6"/>
      <c r="L10" s="6"/>
      <c r="M10" s="6"/>
      <c r="N10" s="6"/>
      <c r="O10" s="6"/>
      <c r="P10" s="6"/>
      <c r="Q10" s="6"/>
    </row>
    <row r="11" spans="1:17" x14ac:dyDescent="0.25">
      <c r="A11" s="3"/>
      <c r="B11" s="10" t="s">
        <v>0</v>
      </c>
      <c r="C11" s="10" t="s">
        <v>1</v>
      </c>
      <c r="D11" s="10" t="s">
        <v>2</v>
      </c>
      <c r="E11" s="10" t="s">
        <v>3</v>
      </c>
      <c r="F11" s="5" t="s">
        <v>4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</row>
    <row r="12" spans="1:17" x14ac:dyDescent="0.25">
      <c r="A12" s="12" t="s">
        <v>5</v>
      </c>
      <c r="B12" s="18">
        <f>INDEX(Sheet1!$B$4:$D$6,MATCH($B$9,$A$4:$A$6,0),MATCH(A12,$B$2:$D$2,0))</f>
        <v>2</v>
      </c>
      <c r="C12" s="19">
        <f>INDEX(Sheet1!$F$4:$H$6,MATCH($B$9,$A$4:$A$6,0),MATCH(A12,$F$2:$H$2,0))</f>
        <v>3</v>
      </c>
      <c r="D12" s="19">
        <f>INDEX(Sheet1!$J$4:$L$6,MATCH($B$9,$A$4:$A$6,0),MATCH($A$12,$J$2:$L$2,0))</f>
        <v>2</v>
      </c>
      <c r="E12" s="20">
        <f>INDEX(Sheet1!$N$4:$P$6,MATCH($B$9,$A$4:$A$6,0),MATCH($A$12,$N$2:$P$2,0))</f>
        <v>2</v>
      </c>
      <c r="F12" s="14">
        <f>SUM(B12:E12)</f>
        <v>9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</row>
    <row r="13" spans="1:17" x14ac:dyDescent="0.25">
      <c r="A13" s="12" t="s">
        <v>7</v>
      </c>
      <c r="B13" s="21">
        <f>INDEX(Sheet1!$B$4:$D$6,MATCH($B$9,$A$4:$A$6,0),MATCH(A13,$B$2:$D$2,0))</f>
        <v>5</v>
      </c>
      <c r="C13" s="16">
        <f>INDEX(Sheet1!$F$4:$H$6,MATCH($B$9,$A$4:$A$6,0),MATCH(A13,$F$2:$H$2,0))</f>
        <v>1</v>
      </c>
      <c r="D13" s="16">
        <f>INDEX(Sheet1!$J$4:$L$6,MATCH($B$9,$A$4:$A$6,0),MATCH($A$13,$J$2:$L$2,0))</f>
        <v>5</v>
      </c>
      <c r="E13" s="22">
        <f>INDEX(Sheet1!$N$4:$P$6,MATCH($B$9,$A$4:$A$6,0),MATCH($A$13,$N$2:$P$2,0))</f>
        <v>5</v>
      </c>
      <c r="F13" s="14">
        <f>SUM(B13:E13)</f>
        <v>16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17" x14ac:dyDescent="0.25">
      <c r="A14" s="12" t="s">
        <v>4</v>
      </c>
      <c r="B14" s="23">
        <f>SUM(B12:B13)</f>
        <v>7</v>
      </c>
      <c r="C14" s="17">
        <f>SUM(C12:C13)</f>
        <v>4</v>
      </c>
      <c r="D14" s="17">
        <f>SUM(D12:D13)</f>
        <v>7</v>
      </c>
      <c r="E14" s="24">
        <f>SUM(E12:E13)</f>
        <v>7</v>
      </c>
      <c r="F14" s="14">
        <f>SUM(B14:E14)</f>
        <v>25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</row>
    <row r="15" spans="1:17" x14ac:dyDescent="0.25">
      <c r="A15" s="12" t="s">
        <v>6</v>
      </c>
      <c r="B15" s="21">
        <f>INDEX(Sheet1!$B$4:$D$6,MATCH($B$9,$A$4:$A$6,0),MATCH(A15,$B$2:$D$2,0))</f>
        <v>6</v>
      </c>
      <c r="C15" s="16">
        <f>INDEX(Sheet1!$F$4:$H$6,MATCH($B$9,$A$4:$A$6,0),MATCH(A15,$F$2:$H$2,0))</f>
        <v>5</v>
      </c>
      <c r="D15" s="16">
        <f>INDEX(Sheet1!$J$4:$L$6,MATCH($B$9,$A$4:$A$6,0),MATCH($A$15,$J$2:$L$2,0))</f>
        <v>3</v>
      </c>
      <c r="E15" s="22">
        <f>INDEX(Sheet1!$N$4:$P$6,MATCH($B$9,$A$4:$A$6,0),MATCH($A$15,$N$2:$P$2,0))</f>
        <v>2</v>
      </c>
      <c r="F15" s="14">
        <f>SUM(B15:E15)</f>
        <v>16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17" x14ac:dyDescent="0.25">
      <c r="A16" s="12" t="s">
        <v>4</v>
      </c>
      <c r="B16" s="25">
        <f>SUM(B15)</f>
        <v>6</v>
      </c>
      <c r="C16" s="26">
        <f>SUM(C15)</f>
        <v>5</v>
      </c>
      <c r="D16" s="26">
        <f>SUM(D15)</f>
        <v>3</v>
      </c>
      <c r="E16" s="27">
        <f t="shared" ref="E16" si="5">SUM(E15)</f>
        <v>2</v>
      </c>
      <c r="F16" s="14">
        <f>SUM(B16:E16)</f>
        <v>16</v>
      </c>
      <c r="J16" s="6"/>
      <c r="K16" s="6"/>
      <c r="L16" s="6"/>
      <c r="M16" s="6"/>
      <c r="N16" s="6"/>
      <c r="O16" s="6"/>
      <c r="P16" s="6"/>
      <c r="Q16" s="6"/>
    </row>
    <row r="17" spans="1:17" x14ac:dyDescent="0.25">
      <c r="A17" s="4" t="s">
        <v>8</v>
      </c>
      <c r="B17" s="15">
        <f>B16+B14</f>
        <v>13</v>
      </c>
      <c r="C17" s="15">
        <f t="shared" ref="C17:E17" si="6">C16+C14</f>
        <v>9</v>
      </c>
      <c r="D17" s="15">
        <f t="shared" si="6"/>
        <v>10</v>
      </c>
      <c r="E17" s="15">
        <f t="shared" si="6"/>
        <v>9</v>
      </c>
      <c r="F17" s="13">
        <f>F16+F14</f>
        <v>41</v>
      </c>
      <c r="J17" s="6"/>
      <c r="K17" s="6"/>
      <c r="L17" s="6"/>
      <c r="M17" s="6"/>
      <c r="N17" s="6"/>
      <c r="O17" s="6"/>
      <c r="P17" s="6"/>
      <c r="Q17" s="6"/>
    </row>
  </sheetData>
  <mergeCells count="5">
    <mergeCell ref="J1:M1"/>
    <mergeCell ref="F1:I1"/>
    <mergeCell ref="B1:E1"/>
    <mergeCell ref="N1:Q1"/>
    <mergeCell ref="B9:D9"/>
  </mergeCells>
  <phoneticPr fontId="2" type="noConversion"/>
  <dataValidations count="1">
    <dataValidation type="list" showInputMessage="1" showErrorMessage="1" sqref="B9:D9" xr:uid="{91DE3C18-8B91-4A99-9352-E7A3C729FBD6}">
      <formula1>"IT Exec, Account Exec, HR Exec"</formula1>
    </dataValidation>
  </dataValidations>
  <pageMargins left="0.7" right="0.7" top="0.75" bottom="0.75" header="0.3" footer="0.3"/>
  <pageSetup paperSize="9" orientation="portrait" r:id="rId1"/>
  <ignoredErrors>
    <ignoredError sqref="B14:C1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Clement Chen Kai Wen</dc:creator>
  <cp:lastModifiedBy>Clement Chen Kai Wen</cp:lastModifiedBy>
  <dcterms:created xsi:type="dcterms:W3CDTF">2019-08-26T07:53:23Z</dcterms:created>
  <dcterms:modified xsi:type="dcterms:W3CDTF">2019-08-28T01:13:35Z</dcterms:modified>
</cp:coreProperties>
</file>